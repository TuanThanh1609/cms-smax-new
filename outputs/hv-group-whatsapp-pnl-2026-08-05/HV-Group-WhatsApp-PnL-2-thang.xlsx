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02bcb82ddd4d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&amp;L WhatsApp" sheetId="1" r:id="Rb9a057b048074a61"/>
    <x:sheet xmlns:r="http://schemas.openxmlformats.org/officeDocument/2006/relationships" name="Nguồn &amp; Giả định" sheetId="2" r:id="Radb6ee597dc14f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;[Red](#,##0);-"/>
    <x:numFmt numFmtId="201" formatCode="&quot;₫&quot; #,##0;[Red](&quot;₫&quot; #,##0);-"/>
    <x:numFmt numFmtId="202" formatCode="0.00&quot;x&quot;;[Red](0.00&quot;x&quot;);-"/>
    <x:numFmt numFmtId="203" formatCode="0.000000"/>
    <x:numFmt numFmtId="204" formatCode="0.0%;[Red](0.0%);-"/>
    <x:numFmt numFmtId="205" formatCode="#,##0.00"/>
    <x:numFmt numFmtId="206" formatCode="&quot;$&quot;0.0000;[Red](&quot;$&quot;0.0000);-"/>
    <x:numFmt numFmtId="207" formatCode="&quot;Rp&quot; #,##0;[Red](&quot;Rp&quot; #,##0);-"/>
  </x:numFmts>
  <x:fonts count="25">
    <x:font>
      <x:sz val="11"/>
      <x:name val="Carlito"/>
    </x:font>
    <x:font>
      <x:sz val="10"/>
      <x:color rgb="FF102348"/>
      <x:name val="Arial"/>
    </x:font>
    <x:font>
      <x:b/>
      <x:sz val="18"/>
      <x:color rgb="FFFFFFFF"/>
      <x:name val="Arial"/>
    </x:font>
    <x:font>
      <x:sz val="10"/>
      <x:color rgb="FFC6DCFF"/>
      <x:name val="Arial"/>
    </x:font>
    <x:font>
      <x:sz val="9"/>
      <x:color rgb="FF93C5FD"/>
      <x:name val="Arial"/>
    </x:font>
    <x:font>
      <x:b/>
      <x:sz val="10"/>
      <x:color rgb="FFFFFFFF"/>
      <x:name val="Arial"/>
    </x:font>
    <x:font>
      <x:b/>
      <x:sz val="10"/>
      <x:color rgb="FF102348"/>
      <x:name val="Arial"/>
    </x:font>
    <x:font>
      <x:b/>
      <x:sz val="13"/>
      <x:color rgb="FF102348"/>
      <x:name val="Arial"/>
    </x:font>
    <x:font>
      <x:b/>
      <x:sz val="13"/>
      <x:color rgb="FF0C684B"/>
      <x:name val="Arial"/>
    </x:font>
    <x:font>
      <x:b/>
      <x:sz val="13"/>
      <x:color rgb="FFB42318"/>
      <x:name val="Arial"/>
    </x:font>
    <x:font>
      <x:b/>
      <x:sz val="13"/>
      <x:color rgb="FFB54708"/>
      <x:name val="Arial"/>
    </x:font>
    <x:font>
      <x:sz val="10"/>
      <x:color rgb="FF0000FF"/>
      <x:name val="Arial"/>
    </x:font>
    <x:font>
      <x:b/>
      <x:sz val="10"/>
      <x:color rgb="FF0C684B"/>
      <x:name val="Arial"/>
    </x:font>
    <x:font>
      <x:b/>
      <x:sz val="10"/>
      <x:color rgb="FFB54708"/>
      <x:name val="Arial"/>
    </x:font>
    <x:font>
      <x:b/>
      <x:sz val="10"/>
      <x:color rgb="FFB42318"/>
      <x:name val="Arial"/>
    </x:font>
    <x:font>
      <x:sz val="10"/>
      <x:color rgb="FF102348"/>
      <x:name val="Arial"/>
    </x:font>
    <x:font>
      <x:sz val="10"/>
      <x:color rgb="FF1155CC"/>
      <x:name val="Arial"/>
    </x:font>
    <x:font>
      <x:b/>
      <x:sz val="16"/>
      <x:color rgb="FFFFFFFF"/>
      <x:name val="Arial"/>
    </x:font>
    <x:font>
      <x:b/>
      <x:sz val="11"/>
      <x:color rgb="FFFFFFFF"/>
      <x:name val="Carlito"/>
    </x:font>
    <x:font>
      <x:b/>
      <x:sz val="11"/>
      <x:color rgb="FF102348"/>
      <x:name val="Carlito"/>
    </x:font>
    <x:font>
      <x:sz val="11"/>
      <x:color rgb="FF1155CC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1"/>
      <x:color rgb="FF102348"/>
      <x:name val="Arial"/>
    </x:font>
    <x:font>
      <x:sz val="11"/>
      <x:color rgb="FF1155CC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081D42"/>
      </x:patternFill>
    </x:fill>
    <x:fill>
      <x:patternFill patternType="solid">
        <x:fgColor rgb="FF1463EA"/>
      </x:patternFill>
    </x:fill>
    <x:fill>
      <x:patternFill patternType="solid">
        <x:fgColor rgb="FFF4F7FC"/>
      </x:patternFill>
    </x:fill>
    <x:fill>
      <x:patternFill patternType="solid">
        <x:fgColor rgb="FFE9F8F1"/>
      </x:patternFill>
    </x:fill>
    <x:fill>
      <x:patternFill patternType="solid">
        <x:fgColor rgb="FFFDECEC"/>
      </x:patternFill>
    </x:fill>
    <x:fill>
      <x:patternFill patternType="solid">
        <x:fgColor rgb="FFFFF7E6"/>
      </x:patternFill>
    </x:fill>
    <x:fill>
      <x:patternFill patternType="solid">
        <x:fgColor rgb="FFEAF2FF"/>
      </x:patternFill>
    </x:fill>
    <x:fill>
      <x:patternFill patternType="solid">
        <x:fgColor rgb="FFFFF4CC"/>
      </x:patternFill>
    </x:fill>
  </x:fills>
  <x:borders count="5">
    <x:border/>
    <x:border>
      <x:right style="thin">
        <x:color rgb="FFD9E3F2"/>
      </x:right>
    </x:border>
    <x:border>
      <x:left style="thin">
        <x:color rgb="FFD9E3F2"/>
      </x:left>
      <x:right style="thin">
        <x:color rgb="FFD9E3F2"/>
      </x:right>
    </x:border>
    <x:border>
      <x:left style="thin">
        <x:color rgb="FFD9E3F2"/>
      </x:left>
    </x:border>
    <x:border>
      <x:top style="medium">
        <x:color rgb="FF1463EA"/>
      </x:top>
    </x:border>
  </x:borders>
  <x:cellStyleXfs count="1">
    <x:xf numFmtId="0" fontId="0" fillId="0" borderId="0"/>
  </x:cellStyleXfs>
  <x:cellXfs count="10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horizontal="right" vertical="center" wrapText="1"/>
    </x:xf>
    <x:xf numFmtId="0" fontId="7" fillId="4" borderId="0" xfId="0" applyNumberFormat="1" applyFont="1" applyFill="1" applyBorder="1" applyAlignment="1">
      <x:alignment horizontal="right" vertical="center" wrapText="1"/>
    </x:xf>
    <x:xf numFmtId="0" fontId="7" fillId="5" borderId="0" xfId="0" applyNumberFormat="1" applyFont="1" applyFill="1" applyBorder="1" applyAlignment="1">
      <x:alignment horizontal="right" vertical="center" wrapText="1"/>
    </x:xf>
    <x:xf numFmtId="0" fontId="8" fillId="5" borderId="0" xfId="0" applyNumberFormat="1" applyFont="1" applyFill="1" applyBorder="1" applyAlignment="1">
      <x:alignment horizontal="right" vertical="center" wrapText="1"/>
    </x:xf>
    <x:xf numFmtId="0" fontId="7" fillId="6" borderId="0" xfId="0" applyNumberFormat="1" applyFont="1" applyFill="1" applyBorder="1" applyAlignment="1">
      <x:alignment horizontal="right" vertical="center" wrapText="1"/>
    </x:xf>
    <x:xf numFmtId="0" fontId="9" fillId="6" borderId="0" xfId="0" applyNumberFormat="1" applyFont="1" applyFill="1" applyBorder="1" applyAlignment="1">
      <x:alignment horizontal="right" vertical="center" wrapText="1"/>
    </x:xf>
    <x:xf numFmtId="0" fontId="7" fillId="7" borderId="0" xfId="0" applyNumberFormat="1" applyFont="1" applyFill="1" applyBorder="1" applyAlignment="1">
      <x:alignment horizontal="right" vertical="center" wrapText="1"/>
    </x:xf>
    <x:xf numFmtId="0" fontId="10" fillId="7" borderId="0" xfId="0" applyNumberFormat="1" applyFont="1" applyFill="1" applyBorder="1" applyAlignment="1">
      <x:alignment horizontal="right" vertical="center" wrapText="1"/>
    </x:xf>
    <x:xf numFmtId="200" fontId="7" fillId="0" borderId="0" xfId="0" applyNumberFormat="1" applyFont="1" applyFill="1" applyBorder="1" applyAlignment="1">
      <x:alignment horizontal="right" vertical="center" wrapText="1"/>
    </x:xf>
    <x:xf numFmtId="201" fontId="7" fillId="0" borderId="0" xfId="0" applyNumberFormat="1" applyFont="1" applyFill="1" applyBorder="1" applyAlignment="1">
      <x:alignment horizontal="right" vertical="center" wrapText="1"/>
    </x:xf>
    <x:xf numFmtId="201" fontId="8" fillId="5" borderId="0" xfId="0" applyNumberFormat="1" applyFont="1" applyFill="1" applyBorder="1" applyAlignment="1">
      <x:alignment horizontal="right" vertical="center" wrapText="1"/>
    </x:xf>
    <x:xf numFmtId="201" fontId="9" fillId="6" borderId="0" xfId="0" applyNumberFormat="1" applyFont="1" applyFill="1" applyBorder="1" applyAlignment="1">
      <x:alignment horizontal="right" vertical="center" wrapText="1"/>
    </x:xf>
    <x:xf numFmtId="202" fontId="8" fillId="5" borderId="0" xfId="0" applyNumberFormat="1" applyFont="1" applyFill="1" applyBorder="1" applyAlignment="1">
      <x:alignment horizontal="right" vertical="center" wrapText="1"/>
    </x:xf>
    <x:xf numFmtId="202" fontId="9" fillId="6" borderId="0" xfId="0" applyNumberFormat="1" applyFont="1" applyFill="1" applyBorder="1" applyAlignment="1">
      <x:alignment horizontal="right" vertical="center" wrapText="1"/>
    </x:xf>
    <x:xf numFmtId="202" fontId="10" fillId="7" borderId="0" xfId="0" applyNumberFormat="1" applyFont="1" applyFill="1" applyBorder="1" applyAlignment="1">
      <x:alignment horizontal="right"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 applyAlignment="1">
      <x:alignment vertical="center" wrapText="1"/>
    </x:xf>
    <x:xf numFmtId="0" fontId="6" fillId="8" borderId="1" xfId="0" applyNumberFormat="1" applyFont="1" applyFill="1" applyBorder="1" applyAlignment="1">
      <x:alignment vertical="center" wrapText="1"/>
    </x:xf>
    <x:xf numFmtId="0" fontId="6" fillId="8" borderId="2" xfId="0" applyNumberFormat="1" applyFont="1" applyFill="1" applyBorder="1" applyAlignment="1">
      <x:alignment vertical="center" wrapText="1"/>
    </x:xf>
    <x:xf numFmtId="0" fontId="6" fillId="8" borderId="3" xfId="0" applyNumberFormat="1" applyFont="1" applyFill="1" applyBorder="1" applyAlignment="1">
      <x:alignment vertical="center" wrapText="1"/>
    </x:xf>
    <x:xf numFmtId="0" fontId="6" fillId="8" borderId="1" xfId="0" applyNumberFormat="1" applyFont="1" applyFill="1" applyBorder="1" applyAlignment="1">
      <x:alignment horizontal="center" vertical="center" wrapText="1"/>
    </x:xf>
    <x:xf numFmtId="0" fontId="6" fillId="8" borderId="2" xfId="0" applyNumberFormat="1" applyFont="1" applyFill="1" applyBorder="1" applyAlignment="1">
      <x:alignment horizontal="center" vertical="center" wrapText="1"/>
    </x:xf>
    <x:xf numFmtId="0" fontId="6" fillId="8" borderId="3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11" fillId="9" borderId="0" xfId="0" applyNumberFormat="1" applyFont="1" applyFill="1" applyBorder="1" applyAlignment="1">
      <x:alignment vertical="center" wrapText="1"/>
    </x:xf>
    <x:xf numFmtId="0" fontId="11" fillId="9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200" fontId="11" fillId="9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3" fontId="11" fillId="9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1" fontId="11" fillId="9" borderId="0" xfId="0" applyNumberFormat="1" applyFont="1" applyFill="1" applyBorder="1" applyAlignment="1">
      <x:alignment horizontal="right" vertical="center" wrapText="1"/>
    </x:xf>
    <x:xf numFmtId="202" fontId="11" fillId="9" borderId="0" xfId="0" applyNumberFormat="1" applyFont="1" applyFill="1" applyBorder="1" applyAlignment="1">
      <x:alignment horizontal="right" vertical="center" wrapText="1"/>
    </x:xf>
    <x:xf numFmtId="204" fontId="11" fillId="9" borderId="0" xfId="0" applyNumberFormat="1" applyFont="1" applyFill="1" applyBorder="1" applyAlignment="1">
      <x:alignment horizontal="right" vertical="center" wrapText="1"/>
    </x:xf>
    <x:xf numFmtId="205" fontId="11" fillId="9" borderId="0" xfId="0" applyNumberFormat="1" applyFont="1" applyFill="1" applyBorder="1" applyAlignment="1">
      <x:alignment horizontal="right" vertical="center" wrapText="1"/>
    </x:xf>
    <x:xf numFmtId="206" fontId="11" fillId="9" borderId="0" xfId="0" applyNumberFormat="1" applyFont="1" applyFill="1" applyBorder="1" applyAlignment="1">
      <x:alignment horizontal="right"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2" fillId="5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13" fillId="7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2" fillId="5" borderId="0" xfId="0" applyNumberFormat="1" applyFont="1" applyFill="1" applyBorder="1" applyAlignment="1">
      <x:alignment vertical="center" wrapText="1"/>
    </x:xf>
    <x:xf numFmtId="201" fontId="13" fillId="7" borderId="0" xfId="0" applyNumberFormat="1" applyFont="1" applyFill="1" applyBorder="1" applyAlignment="1">
      <x:alignment vertical="center" wrapText="1"/>
    </x:xf>
    <x:xf numFmtId="0" fontId="6" fillId="8" borderId="4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4" fillId="6" borderId="0" xfId="0" applyNumberFormat="1" applyFont="1" applyFill="1" applyBorder="1" applyAlignment="1">
      <x:alignment vertical="center" wrapText="1"/>
    </x:xf>
    <x:xf numFmtId="0" fontId="14" fillId="6" borderId="4" xfId="0" applyNumberFormat="1" applyFont="1" applyFill="1" applyBorder="1" applyAlignment="1">
      <x:alignment vertical="center" wrapText="1"/>
    </x:xf>
    <x:xf numFmtId="201" fontId="6" fillId="8" borderId="0" xfId="0" applyNumberFormat="1" applyFont="1" applyFill="1" applyBorder="1" applyAlignment="1">
      <x:alignment vertical="center" wrapText="1"/>
    </x:xf>
    <x:xf numFmtId="201" fontId="6" fillId="8" borderId="4" xfId="0" applyNumberFormat="1" applyFont="1" applyFill="1" applyBorder="1" applyAlignment="1">
      <x:alignment vertical="center" wrapText="1"/>
    </x:xf>
    <x:xf numFmtId="201" fontId="14" fillId="6" borderId="4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7" fontId="1" fillId="0" borderId="0" xfId="0" applyNumberFormat="1" applyFont="1" applyFill="1" applyBorder="1" applyAlignment="1">
      <x:alignment vertical="center" wrapText="1"/>
    </x:xf>
    <x:xf numFmtId="207" fontId="12" fillId="5" borderId="0" xfId="0" applyNumberFormat="1" applyFont="1" applyFill="1" applyBorder="1" applyAlignment="1">
      <x:alignment vertical="center" wrapText="1"/>
    </x:xf>
    <x:xf numFmtId="207" fontId="13" fillId="7" borderId="0" xfId="0" applyNumberFormat="1" applyFont="1" applyFill="1" applyBorder="1" applyAlignment="1">
      <x:alignment vertical="center" wrapText="1"/>
    </x:xf>
    <x:xf numFmtId="200" fontId="12" fillId="5" borderId="0" xfId="0" applyNumberFormat="1" applyFont="1" applyFill="1" applyBorder="1" applyAlignment="1">
      <x:alignment vertical="center" wrapText="1"/>
    </x:xf>
    <x:xf numFmtId="200" fontId="13" fillId="7" borderId="0" xfId="0" applyNumberFormat="1" applyFont="1" applyFill="1" applyBorder="1" applyAlignment="1">
      <x:alignment vertical="center" wrapText="1"/>
    </x:xf>
    <x:xf numFmtId="202" fontId="12" fillId="5" borderId="0" xfId="0" applyNumberFormat="1" applyFont="1" applyFill="1" applyBorder="1" applyAlignment="1">
      <x:alignment vertical="center" wrapText="1"/>
    </x:xf>
    <x:xf numFmtId="202" fontId="13" fillId="7" borderId="0" xfId="0" applyNumberFormat="1" applyFont="1" applyFill="1" applyBorder="1" applyAlignment="1">
      <x:alignment vertical="center" wrapText="1"/>
    </x:xf>
    <x:xf numFmtId="0" fontId="15" fillId="4" borderId="0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 applyAlignment="1">
      <x:alignment horizontal="center" vertical="center" wrapText="1"/>
    </x:xf>
    <x:xf numFmtId="0" fontId="16" fillId="0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17" fillId="2" borderId="0" xfId="0" applyNumberFormat="1" applyFont="1" applyFill="1" applyBorder="1"/>
    <x:xf numFmtId="0" fontId="17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8" fillId="3" borderId="0" xfId="0" applyNumberFormat="1" applyFont="1" applyFill="1" applyBorder="1"/>
    <x:xf numFmtId="0" fontId="18" fillId="3" borderId="0" xfId="0" applyNumberFormat="1" applyFont="1" applyFill="1" applyBorder="1" applyAlignment="1">
      <x:alignment wrapText="1"/>
    </x:xf>
    <x:xf numFmtId="0" fontId="18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9" fillId="4" borderId="0" xfId="0" applyNumberFormat="1" applyFont="1" applyFill="1" applyBorder="1"/>
    <x:xf numFmtId="0" fontId="20" fillId="0" borderId="0" xfId="0" applyNumberFormat="1" applyFont="1" applyFill="1" applyBorder="1"/>
    <x:xf numFmtId="0" fontId="20" fillId="0" borderId="0" xfId="0" applyNumberFormat="1" applyFont="1" applyFill="1" applyBorder="1" applyAlignment="1">
      <x:alignment wrapText="1"/>
    </x:xf>
    <x:xf numFmtId="0" fontId="21" fillId="0" borderId="0" xfId="0" applyNumberFormat="1" applyFont="1" applyFill="1" applyBorder="1"/>
    <x:xf numFmtId="0" fontId="22" fillId="3" borderId="0" xfId="0" applyNumberFormat="1" applyFont="1" applyFill="1" applyBorder="1" applyAlignment="1">
      <x:alignment horizontal="center" wrapText="1"/>
    </x:xf>
    <x:xf numFmtId="0" fontId="23" fillId="4" borderId="0" xfId="0" applyNumberFormat="1" applyFont="1" applyFill="1" applyBorder="1"/>
    <x:xf numFmtId="0" fontId="24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0C684B"/>
      </x:font>
      <x:fill>
        <x:patternFill patternType="solid">
          <x:bgColor rgb="FFE9F8F1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d7529fdfc349e5" /><Relationship Type="http://schemas.openxmlformats.org/officeDocument/2006/relationships/theme" Target="/xl/theme/theme1.xml" Id="Rd81e6639803b46b9" /><Relationship Type="http://schemas.openxmlformats.org/officeDocument/2006/relationships/sharedStrings" Target="/xl/sharedStrings.xml" Id="R7c3b8334b43a4804" /><Relationship Type="http://schemas.openxmlformats.org/officeDocument/2006/relationships/worksheet" Target="/xl/worksheets/sheet1.xml" Id="Rb9a057b048074a61" /><Relationship Type="http://schemas.openxmlformats.org/officeDocument/2006/relationships/worksheet" Target="/xl/worksheets/sheet2.xml" Id="Radb6ee597dc14f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.3799991607666" hidden="0" customWidth="1"/>
    <x:col min="2" max="2" width="16.8799991607666" hidden="0" customWidth="1"/>
    <x:col min="3" max="3" width="16.25" hidden="0" customWidth="1"/>
    <x:col min="4" max="4" width="33.75" hidden="0" customWidth="1"/>
    <x:col min="5" max="5" width="21.25" hidden="0" customWidth="1"/>
    <x:col min="6" max="6" width="28.1299991607666" hidden="0" customWidth="1"/>
    <x:col min="7" max="7" width="15" hidden="0" customWidth="1"/>
    <x:col min="8" max="8" width="16.8799991607666" hidden="0" customWidth="1"/>
    <x:col min="9" max="9" width="19.3799991607666" hidden="0" customWidth="1"/>
    <x:col min="10" max="10" width="37.5" hidden="0" customWidth="1"/>
  </x:cols>
  <x:sheetData>
    <x:row r="1" ht="33" customHeight="1">
      <x:c r="A1" s="6" t="str">
        <x:v>P&amp;L DỰ KIẾN — KÊNH BÁN HÀNG WHATSAPP (2 THÁNG)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21" customHeight="1">
      <x:c r="A2" s="8" t="str">
        <x:v>HV Group | Indonesia | Quy đổi VND | Chính sách Meta cập nhật 05/08/2026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3" ht="30" customHeight="1">
      <x:c r="A3" s="10" t="str">
        <x:v>Ô màu vàng là giả định có thể chỉnh sửa. Kết quả chưa bao gồm COGS, logistics, COD fee và các chi phí vận hành khác.</x:v>
      </x:c>
      <x:c r="B3" s="10"/>
      <x:c r="C3" s="10"/>
      <x:c r="D3" s="10"/>
      <x:c r="E3" s="10"/>
      <x:c r="F3" s="10"/>
      <x:c r="G3" s="10"/>
      <x:c r="H3" s="10"/>
      <x:c r="I3" s="10"/>
      <x:c r="J3" s="1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2.5" customHeight="1">
      <x:c r="A5" s="12" t="str">
        <x:v>KẾT QUẢ TÓM TẮT</x:v>
      </x:c>
      <x:c r="B5" s="12"/>
      <x:c r="C5" s="12"/>
      <x:c r="D5" s="12"/>
      <x:c r="E5" s="12"/>
      <x:c r="F5" s="12"/>
      <x:c r="G5" s="12"/>
      <x:c r="H5" s="12"/>
      <x:c r="I5" s="12"/>
      <x:c r="J5" s="12"/>
    </x:row>
    <x:row r="6" ht="37.5" customHeight="1">
      <x:c r="A6" s="14" t="str">
        <x:v>Hội thoại mới</x:v>
      </x:c>
      <x:c r="B6" s="25" t="n">
        <x:f>$B$15</x:f>
        <x:v>6000</x:v>
      </x:c>
      <x:c r="C6" s="18" t="str">
        <x:v>Chi phí quảng cáo</x:v>
      </x:c>
      <x:c r="D6" s="26" t="n">
        <x:f>$B$21</x:f>
        <x:v>26360765.279999997</x:v>
      </x:c>
      <x:c r="E6" s="18" t="str">
        <x:v>Phí WhatsApp + VAT</x:v>
      </x:c>
      <x:c r="F6" s="26" t="n">
        <x:f>$I$19</x:f>
        <x:v>80663523.00073202</x:v>
      </x:c>
      <x:c r="G6" s="18" t="str">
        <x:v>Doanh thu sau hoàn–hủy</x:v>
      </x:c>
      <x:c r="H6" s="27" t="n">
        <x:f>$B$23</x:f>
        <x:v>79082295.83999999</x:v>
      </x:c>
      <x:c r="I6" s="20" t="str">
        <x:v>ROAS media</x:v>
      </x:c>
      <x:c r="J6" s="29" t="n">
        <x:f>$B$22</x:f>
        <x:v>3</x:v>
      </x:c>
    </x:row>
    <x:row r="7">
      <x:c r="A7" s="3"/>
      <x:c r="B7" s="17"/>
      <x:c r="C7" s="17"/>
      <x:c r="D7" s="17"/>
      <x:c r="E7" s="17"/>
      <x:c r="F7" s="17"/>
      <x:c r="G7" s="17"/>
      <x:c r="H7" s="17"/>
      <x:c r="I7" s="17"/>
      <x:c r="J7" s="17"/>
    </x:row>
    <x:row r="8" ht="37.5" customHeight="1">
      <x:c r="A8" s="14" t="str">
        <x:v>Tổng chi phí kênh</x:v>
      </x:c>
      <x:c r="B8" s="26" t="n">
        <x:f>$B$49</x:f>
        <x:v>107024288.28073202</x:v>
      </x:c>
      <x:c r="C8" s="18" t="str">
        <x:v>Đóng góp trước COGS</x:v>
      </x:c>
      <x:c r="D8" s="28" t="n">
        <x:f>$B$50</x:f>
        <x:v>-27941992.440732032</x:v>
      </x:c>
      <x:c r="E8" s="22" t="str">
        <x:v>Revenue / Tổng chi phí</x:v>
      </x:c>
      <x:c r="F8" s="30" t="n">
        <x:f>$B$52</x:f>
        <x:v>0.7389191473300128</x:v>
      </x:c>
      <x:c r="G8" s="18" t="str">
        <x:v>All-in cost / chat</x:v>
      </x:c>
      <x:c r="H8" s="26" t="n">
        <x:f>$B$53</x:f>
        <x:v>17837.381380122002</x:v>
      </x:c>
      <x:c r="I8" s="18" t="str">
        <x:v>ROAS hòa vốn</x:v>
      </x:c>
      <x:c r="J8" s="31" t="n">
        <x:f>$B$54</x:f>
        <x:v>4.059984114419156</x:v>
      </x:c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</x:row>
    <x:row r="11" ht="22.5" customHeight="1">
      <x:c r="A11" s="12" t="str">
        <x:v>GIẢ ĐỊNH ĐẦU VÀO</x:v>
      </x:c>
      <x:c r="B11" s="12"/>
      <x:c r="C11" s="12"/>
      <x:c r="D11" s="12"/>
      <x:c r="E11" s="3"/>
      <x:c r="F11" s="12" t="str">
        <x:v>CHI PHÍ WHATSAPP THEO FLOW 1 KHÁCH HÀNG MỚI</x:v>
      </x:c>
      <x:c r="G11" s="12"/>
      <x:c r="H11" s="12"/>
      <x:c r="I11" s="12"/>
      <x:c r="J11" s="12"/>
    </x:row>
    <x:row r="12" ht="31.5" customHeight="1">
      <x:c r="A12" s="37" t="str">
        <x:v>Giả định</x:v>
      </x:c>
      <x:c r="B12" s="38" t="str">
        <x:v>Giá trị</x:v>
      </x:c>
      <x:c r="C12" s="38" t="str">
        <x:v>Đơn vị</x:v>
      </x:c>
      <x:c r="D12" s="38" t="str">
        <x:v>Nguồn / ghi chú</x:v>
      </x:c>
      <x:c r="E12" s="38"/>
      <x:c r="F12" s="38" t="str">
        <x:v>Bước trong flow</x:v>
      </x:c>
      <x:c r="G12" s="38" t="str">
        <x:v>Số tin</x:v>
      </x:c>
      <x:c r="H12" s="38" t="str">
        <x:v>Đơn giá VND</x:v>
      </x:c>
      <x:c r="I12" s="38" t="str">
        <x:v>Chi phí trước VAT</x:v>
      </x:c>
      <x:c r="J12" s="39" t="str">
        <x:v>Cách tính</x:v>
      </x:c>
    </x:row>
    <x:row r="13">
      <x:c r="A13" s="14" t="str">
        <x:v>Thời gian mô phỏng</x:v>
      </x:c>
      <x:c r="B13" s="45" t="n">
        <x:v>60</x:v>
      </x:c>
      <x:c r="C13" s="44" t="str">
        <x:v>ngày</x:v>
      </x:c>
      <x:c r="D13" s="3" t="str">
        <x:v>Theo brief: 2 tháng</x:v>
      </x:c>
      <x:c r="E13" s="3"/>
      <x:c r="F13" s="14" t="str">
        <x:v>Khách nhắn → AI trả lời 10 tin</x:v>
      </x:c>
      <x:c r="G13" s="60" t="n">
        <x:f>$B$15*$B$33</x:f>
        <x:v>60000</x:v>
      </x:c>
      <x:c r="H13" s="61" t="n">
        <x:f>$B$31/1000000*$B$32*$B$29</x:f>
        <x:v>1180.7019</x:v>
      </x:c>
      <x:c r="I13" s="61" t="n">
        <x:f>G13*H13</x:f>
        <x:v>70842114</x:v>
      </x:c>
      <x:c r="J13" s="3" t="str">
        <x:v>Meta Business Agent: tính theo token từ 01/08/2026; FEP không miễn phí token</x:v>
      </x:c>
    </x:row>
    <x:row r="14">
      <x:c r="A14" s="14" t="str">
        <x:v>Hội thoại mới/ngày</x:v>
      </x:c>
      <x:c r="B14" s="45" t="n">
        <x:v>100</x:v>
      </x:c>
      <x:c r="C14" s="44" t="str">
        <x:v>hội thoại</x:v>
      </x:c>
      <x:c r="D14" s="3" t="str">
        <x:v>KPI HV Group</x:v>
      </x:c>
      <x:c r="E14" s="3"/>
      <x:c r="F14" s="14" t="str">
        <x:v>Sau 24h → 3 tin follow-up</x:v>
      </x:c>
      <x:c r="G14" s="60" t="n">
        <x:f>$B$15*$B$34</x:f>
        <x:v>18000</x:v>
      </x:c>
      <x:c r="H14" s="61" t="n">
        <x:f>$B$37*$B$29</x:f>
        <x:v>1078.374402</x:v>
      </x:c>
      <x:c r="I14" s="61" t="n">
        <x:f>G14*(1-$B$30)*H14</x:f>
        <x:v>0</x:v>
      </x:c>
      <x:c r="J14" s="3" t="str">
        <x:v>Sau 24h phải dùng template; miễn phí delivery nếu FEP 72h còn mở</x:v>
      </x:c>
    </x:row>
    <x:row r="15">
      <x:c r="A15" s="14" t="str">
        <x:v>Tổng hội thoại mới</x:v>
      </x:c>
      <x:c r="B15" s="46" t="n">
        <x:f>B13*B14</x:f>
        <x:v>6000</x:v>
      </x:c>
      <x:c r="C15" s="44" t="str">
        <x:v>hội thoại</x:v>
      </x:c>
      <x:c r="D15" s="3" t="str">
        <x:v>60 ngày × 100 hội thoại/ngày</x:v>
      </x:c>
      <x:c r="E15" s="3"/>
      <x:c r="F15" s="14" t="str">
        <x:v>Khách mua → 3 tin utility</x:v>
      </x:c>
      <x:c r="G15" s="60" t="n">
        <x:f>$B$25*$B$35</x:f>
        <x:v>1800</x:v>
      </x:c>
      <x:c r="H15" s="61" t="n">
        <x:f>$B$38*$B$29</x:f>
        <x:v>655.9455</x:v>
      </x:c>
      <x:c r="I15" s="61" t="n">
        <x:f>G15*H15*$B$39</x:f>
        <x:v>1180701.9000000001</x:v>
      </x:c>
      <x:c r="J15" s="3" t="str">
        <x:v>Base tính phí toàn bộ để thận trọng</x:v>
      </x:c>
    </x:row>
    <x:row r="16">
      <x:c r="A16" s="14" t="str">
        <x:v>Benchmark thấp – chi phí/chat</x:v>
      </x:c>
      <x:c r="B16" s="45" t="n">
        <x:v>1500</x:v>
      </x:c>
      <x:c r="C16" s="44" t="str">
        <x:v>IDR/chat</x:v>
      </x:c>
      <x:c r="D16" s="3" t="str">
        <x:v>Benchmark CTWA Indonesia</x:v>
      </x:c>
      <x:c r="E16" s="3"/>
      <x:c r="F16" s="14" t="str">
        <x:v>Sau nhận hàng 7 ngày → upsell</x:v>
      </x:c>
      <x:c r="G16" s="60" t="n">
        <x:f>$B$25*$B$36</x:f>
        <x:v>600</x:v>
      </x:c>
      <x:c r="H16" s="61" t="n">
        <x:f>$B$37*$B$29</x:f>
        <x:v>1078.374402</x:v>
      </x:c>
      <x:c r="I16" s="61" t="n">
        <x:f>G16*H16</x:f>
        <x:v>647024.6412</x:v>
      </x:c>
      <x:c r="J16" s="3" t="str">
        <x:v>Marketing template ngoài cửa sổ miễn phí</x:v>
      </x:c>
    </x:row>
    <x:row r="17">
      <x:c r="A17" s="14" t="str">
        <x:v>Benchmark cơ sở – chi phí/chat</x:v>
      </x:c>
      <x:c r="B17" s="45" t="n">
        <x:v>3000</x:v>
      </x:c>
      <x:c r="C17" s="44" t="str">
        <x:v>IDR/chat</x:v>
      </x:c>
      <x:c r="D17" s="3" t="str">
        <x:v>Kịch bản dùng trong P&amp;L</x:v>
      </x:c>
      <x:c r="E17" s="3"/>
      <x:c r="F17" s="14" t="str">
        <x:v>Tạm tính trước VAT</x:v>
      </x:c>
      <x:c r="G17" s="3"/>
      <x:c r="H17" s="61"/>
      <x:c r="I17" s="61" t="n">
        <x:f>SUM(I13:I16)</x:f>
        <x:v>72669840.54120001</x:v>
      </x:c>
      <x:c r="J17" s="3"/>
    </x:row>
    <x:row r="18">
      <x:c r="A18" s="14" t="str">
        <x:v>Benchmark cao – chi phí/chat</x:v>
      </x:c>
      <x:c r="B18" s="45" t="n">
        <x:v>5000</x:v>
      </x:c>
      <x:c r="C18" s="44" t="str">
        <x:v>IDR/chat</x:v>
      </x:c>
      <x:c r="D18" s="3" t="str">
        <x:v>Benchmark CTWA Indonesia</x:v>
      </x:c>
      <x:c r="E18" s="3"/>
      <x:c r="F18" s="14" t="str">
        <x:v>VAT/PPN</x:v>
      </x:c>
      <x:c r="G18" s="3"/>
      <x:c r="H18" s="61"/>
      <x:c r="I18" s="61" t="n">
        <x:f>I17*$B$26</x:f>
        <x:v>7993682.459532001</x:v>
      </x:c>
      <x:c r="J18" s="3"/>
    </x:row>
    <x:row r="19">
      <x:c r="A19" s="14" t="str">
        <x:v>Tỷ giá IDR → VND</x:v>
      </x:c>
      <x:c r="B19" s="47" t="n">
        <x:v>1.46448696</x:v>
      </x:c>
      <x:c r="C19" s="44" t="str">
        <x:v>VND/IDR</x:v>
      </x:c>
      <x:c r="D19" s="3" t="str">
        <x:v>XE 05/08/2026</x:v>
      </x:c>
      <x:c r="E19" s="3"/>
      <x:c r="F19" s="56" t="str">
        <x:v>TỔNG PHÍ WHATSAPP</x:v>
      </x:c>
      <x:c r="G19" s="56"/>
      <x:c r="H19" s="62"/>
      <x:c r="I19" s="62" t="n">
        <x:f>SUM(I17:I18)</x:f>
        <x:v>80663523.00073202</x:v>
      </x:c>
      <x:c r="J19" s="56"/>
    </x:row>
    <x:row r="20">
      <x:c r="A20" s="14" t="str">
        <x:v>Chi phí quảng cáo/chat</x:v>
      </x:c>
      <x:c r="B20" s="48" t="n">
        <x:f>B17*B19</x:f>
        <x:v>4393.46088</x:v>
      </x:c>
      <x:c r="C20" s="44" t="str">
        <x:v>VND/chat</x:v>
      </x:c>
      <x:c r="D20" s="3" t="str">
        <x:v>Rp3.000 × tỷ giá</x:v>
      </x:c>
      <x:c r="E20" s="3"/>
      <x:c r="F20" s="14" t="str">
        <x:v>Phí WhatsApp / hội thoại mới</x:v>
      </x:c>
      <x:c r="G20" s="3"/>
      <x:c r="H20" s="61"/>
      <x:c r="I20" s="61" t="n">
        <x:f>I19/$B$15</x:f>
        <x:v>13443.920500122003</x:v>
      </x:c>
      <x:c r="J20" s="3"/>
    </x:row>
    <x:row r="21">
      <x:c r="A21" s="14" t="str">
        <x:v>Chi phí quảng cáo</x:v>
      </x:c>
      <x:c r="B21" s="48" t="n">
        <x:f>B15*B20</x:f>
        <x:v>26360765.279999997</x:v>
      </x:c>
      <x:c r="C21" s="44" t="str">
        <x:v>VND</x:v>
      </x:c>
      <x:c r="D21" s="3" t="str">
        <x:v>Tổng chat × chi phí/chat</x:v>
      </x:c>
      <x:c r="E21" s="3"/>
      <x:c r="F21" s="59" t="str">
        <x:v>Giá trị miễn nhờ FEP 72h</x:v>
      </x:c>
      <x:c r="G21" s="59"/>
      <x:c r="H21" s="63"/>
      <x:c r="I21" s="63" t="n">
        <x:f>G14*H14*$B$30*(1+$B$26)</x:f>
        <x:v>21545920.55196</x:v>
      </x:c>
      <x:c r="J21" s="59" t="str">
        <x:v>Chỉ miễn delivery; Meta Business Agent vẫn tính token</x:v>
      </x:c>
    </x:row>
    <x:row r="22">
      <x:c r="A22" s="14" t="str">
        <x:v>ROAS media mục tiêu</x:v>
      </x:c>
      <x:c r="B22" s="50" t="n">
        <x:v>3</x:v>
      </x:c>
      <x:c r="C22" s="44" t="str">
        <x:v>x</x:v>
      </x:c>
      <x:c r="D22" s="3" t="str">
        <x:v>Doanh thu sau hoàn–hủy / Ads</x:v>
      </x:c>
      <x:c r="E22" s="3"/>
      <x:c r="F22" s="3"/>
      <x:c r="G22" s="3"/>
      <x:c r="H22" s="3"/>
      <x:c r="I22" s="3"/>
      <x:c r="J22" s="3"/>
    </x:row>
    <x:row r="23">
      <x:c r="A23" s="14" t="str">
        <x:v>Doanh thu dự kiến sau hoàn–hủy</x:v>
      </x:c>
      <x:c r="B23" s="48" t="n">
        <x:f>B21*B22</x:f>
        <x:v>79082295.83999999</x:v>
      </x:c>
      <x:c r="C23" s="44" t="str">
        <x:v>VND</x:v>
      </x:c>
      <x:c r="D23" s="3" t="str">
        <x:v>Ads × ROAS media</x:v>
      </x:c>
      <x:c r="E23" s="3"/>
      <x:c r="F23" s="3"/>
      <x:c r="G23" s="3"/>
      <x:c r="H23" s="3"/>
      <x:c r="I23" s="3"/>
      <x:c r="J23" s="3"/>
    </x:row>
    <x:row r="24">
      <x:c r="A24" s="14" t="str">
        <x:v>Tỷ lệ mua từ hội thoại</x:v>
      </x:c>
      <x:c r="B24" s="51" t="n">
        <x:v>0.1</x:v>
      </x:c>
      <x:c r="C24" s="44" t="str">
        <x:v>%</x:v>
      </x:c>
      <x:c r="D24" s="3" t="str">
        <x:v>Giả định để tính tin sau mua; có thể chỉnh</x:v>
      </x:c>
      <x:c r="E24" s="3"/>
      <x:c r="F24" s="3"/>
      <x:c r="G24" s="3"/>
      <x:c r="H24" s="3"/>
      <x:c r="I24" s="3"/>
      <x:c r="J24" s="3"/>
    </x:row>
    <x:row r="25">
      <x:c r="A25" s="14" t="str">
        <x:v>Số khách mua</x:v>
      </x:c>
      <x:c r="B25" s="46" t="n">
        <x:f>B15*B24</x:f>
        <x:v>600</x:v>
      </x:c>
      <x:c r="C25" s="44" t="str">
        <x:v>khách</x:v>
      </x:c>
      <x:c r="D25" s="3" t="str">
        <x:v>Tổng chat × tỷ lệ mua</x:v>
      </x:c>
      <x:c r="E25" s="3"/>
      <x:c r="F25" s="3"/>
      <x:c r="G25" s="3"/>
      <x:c r="H25" s="3"/>
      <x:c r="I25" s="3"/>
      <x:c r="J25" s="3"/>
    </x:row>
    <x:row r="26">
      <x:c r="A26" s="14" t="str">
        <x:v>VAT/PPN phí WhatsApp</x:v>
      </x:c>
      <x:c r="B26" s="51" t="n">
        <x:v>0.11</x:v>
      </x:c>
      <x:c r="C26" s="44" t="str">
        <x:v>%</x:v>
      </x:c>
      <x:c r="D26" s="3" t="str">
        <x:v>Điều chỉnh theo hóa đơn thực tế</x:v>
      </x:c>
      <x:c r="E26" s="3"/>
      <x:c r="F26" s="3"/>
      <x:c r="G26" s="3"/>
      <x:c r="H26" s="3"/>
      <x:c r="I26" s="3"/>
      <x:c r="J26" s="3"/>
    </x:row>
    <x:row r="27">
      <x:c r="A27" s="14" t="str">
        <x:v>Chi phí nhân sự</x:v>
      </x:c>
      <x:c r="B27" s="49" t="n">
        <x:v>0</x:v>
      </x:c>
      <x:c r="C27" s="44" t="str">
        <x:v>VND</x:v>
      </x:c>
      <x:c r="D27" s="3" t="str">
        <x:v>Theo brief</x:v>
      </x:c>
      <x:c r="E27" s="3"/>
      <x:c r="F27" s="3"/>
      <x:c r="G27" s="3"/>
      <x:c r="H27" s="3"/>
      <x:c r="I27" s="3"/>
      <x:c r="J27" s="3"/>
    </x:row>
    <x:row r="28">
      <x:c r="A28" s="14" t="str">
        <x:v>Chi phí nền tảng Smax.ai</x:v>
      </x:c>
      <x:c r="B28" s="49" t="n">
        <x:v>0</x:v>
      </x:c>
      <x:c r="C28" s="44" t="str">
        <x:v>VND</x:v>
      </x:c>
      <x:c r="D28" s="3" t="str">
        <x:v>Theo brief</x:v>
      </x:c>
      <x:c r="E28" s="3"/>
      <x:c r="F28" s="3"/>
      <x:c r="G28" s="3"/>
      <x:c r="H28" s="3"/>
      <x:c r="I28" s="3"/>
      <x:c r="J28" s="3"/>
    </x:row>
    <x:row r="29">
      <x:c r="A29" s="14" t="str">
        <x:v>Tỷ giá USD → VND</x:v>
      </x:c>
      <x:c r="B29" s="52" t="n">
        <x:v>26237.82</x:v>
      </x:c>
      <x:c r="C29" s="44" t="str">
        <x:v>VND/USD</x:v>
      </x:c>
      <x:c r="D29" s="3" t="str">
        <x:v>XE 05/08/2026</x:v>
      </x:c>
      <x:c r="E29" s="3"/>
      <x:c r="F29" s="3"/>
      <x:c r="G29" s="3"/>
      <x:c r="H29" s="3"/>
      <x:c r="I29" s="3"/>
      <x:c r="J29" s="3"/>
    </x:row>
    <x:row r="30">
      <x:c r="A30" s="14" t="str">
        <x:v>Tỷ lệ follow-up được miễn nhờ FEP</x:v>
      </x:c>
      <x:c r="B30" s="51" t="n">
        <x:v>1</x:v>
      </x:c>
      <x:c r="C30" s="44" t="str">
        <x:v>%</x:v>
      </x:c>
      <x:c r="D30" s="3" t="str">
        <x:v>Base: 100% traffic từ CTWA và gửi trong 72h</x:v>
      </x:c>
      <x:c r="E30" s="3"/>
      <x:c r="F30" s="3"/>
      <x:c r="G30" s="3"/>
      <x:c r="H30" s="3"/>
      <x:c r="I30" s="3"/>
      <x:c r="J30" s="3"/>
    </x:row>
    <x:row r="31">
      <x:c r="A31" s="14" t="str">
        <x:v>Token trung bình/tin Meta Business Agent</x:v>
      </x:c>
      <x:c r="B31" s="45" t="n">
        <x:v>22500</x:v>
      </x:c>
      <x:c r="C31" s="44" t="str">
        <x:v>token/tin</x:v>
      </x:c>
      <x:c r="D31" s="3" t="str">
        <x:v>Midpoint 20.000–25.000 token/tin</x:v>
      </x:c>
      <x:c r="E31" s="3"/>
      <x:c r="F31" s="3"/>
      <x:c r="G31" s="3"/>
      <x:c r="H31" s="3"/>
      <x:c r="I31" s="3"/>
      <x:c r="J31" s="3"/>
    </x:row>
    <x:row r="32">
      <x:c r="A32" s="14" t="str">
        <x:v>Phí Meta Business Agent</x:v>
      </x:c>
      <x:c r="B32" s="45" t="n">
        <x:v>2</x:v>
      </x:c>
      <x:c r="C32" s="44" t="str">
        <x:v>USD/1M token</x:v>
      </x:c>
      <x:c r="D32" s="3" t="str">
        <x:v>Hiệu lực 01/08/2026</x:v>
      </x:c>
      <x:c r="E32" s="3"/>
      <x:c r="F32" s="3"/>
      <x:c r="G32" s="3"/>
      <x:c r="H32" s="3"/>
      <x:c r="I32" s="3"/>
      <x:c r="J32" s="3"/>
    </x:row>
    <x:row r="33">
      <x:c r="A33" s="14" t="str">
        <x:v>Tin Meta Business Agent/chat</x:v>
      </x:c>
      <x:c r="B33" s="45" t="n">
        <x:v>10</x:v>
      </x:c>
      <x:c r="C33" s="44" t="str">
        <x:v>tin/chat</x:v>
      </x:c>
      <x:c r="D33" s="3" t="str">
        <x:v>Theo flow HV Group</x:v>
      </x:c>
      <x:c r="E33" s="3"/>
      <x:c r="F33" s="3"/>
      <x:c r="G33" s="3"/>
      <x:c r="H33" s="3"/>
      <x:c r="I33" s="3"/>
      <x:c r="J33" s="3"/>
    </x:row>
    <x:row r="34">
      <x:c r="A34" s="14" t="str">
        <x:v>Tin follow-up sau 24h/chat</x:v>
      </x:c>
      <x:c r="B34" s="45" t="n">
        <x:v>3</x:v>
      </x:c>
      <x:c r="C34" s="44" t="str">
        <x:v>tin/chat</x:v>
      </x:c>
      <x:c r="D34" s="3" t="str">
        <x:v>Phải dùng template; FEP có thể miễn phí delivery</x:v>
      </x:c>
      <x:c r="E34" s="3"/>
      <x:c r="F34" s="3"/>
      <x:c r="G34" s="3"/>
      <x:c r="H34" s="3"/>
      <x:c r="I34" s="3"/>
      <x:c r="J34" s="3"/>
    </x:row>
    <x:row r="35">
      <x:c r="A35" s="14" t="str">
        <x:v>Tin utility/đơn hàng</x:v>
      </x:c>
      <x:c r="B35" s="45" t="n">
        <x:v>3</x:v>
      </x:c>
      <x:c r="C35" s="44" t="str">
        <x:v>tin/đơn</x:v>
      </x:c>
      <x:c r="D35" s="3" t="str">
        <x:v>Thông báo hành trình đơn hàng</x:v>
      </x:c>
      <x:c r="E35" s="3"/>
      <x:c r="F35" s="3"/>
      <x:c r="G35" s="3"/>
      <x:c r="H35" s="3"/>
      <x:c r="I35" s="3"/>
      <x:c r="J35" s="3"/>
    </x:row>
    <x:row r="36">
      <x:c r="A36" s="14" t="str">
        <x:v>Tin upsell/đơn hàng</x:v>
      </x:c>
      <x:c r="B36" s="45" t="n">
        <x:v>1</x:v>
      </x:c>
      <x:c r="C36" s="44" t="str">
        <x:v>tin/đơn</x:v>
      </x:c>
      <x:c r="D36" s="3" t="str">
        <x:v>Gửi sau nhận hàng 7 ngày</x:v>
      </x:c>
      <x:c r="E36" s="3"/>
      <x:c r="F36" s="3"/>
      <x:c r="G36" s="3"/>
      <x:c r="H36" s="3"/>
      <x:c r="I36" s="3"/>
      <x:c r="J36" s="3"/>
    </x:row>
    <x:row r="37">
      <x:c r="A37" s="14" t="str">
        <x:v>Đơn giá Marketing – Indonesia</x:v>
      </x:c>
      <x:c r="B37" s="53" t="n">
        <x:v>0.0411</x:v>
      </x:c>
      <x:c r="C37" s="44" t="str">
        <x:v>USD/tin</x:v>
      </x:c>
      <x:c r="D37" s="3" t="str">
        <x:v>Meta rate card hiệu lực 01/07/2026</x:v>
      </x:c>
      <x:c r="E37" s="3"/>
      <x:c r="F37" s="3"/>
      <x:c r="G37" s="3"/>
      <x:c r="H37" s="3"/>
      <x:c r="I37" s="3"/>
      <x:c r="J37" s="3"/>
    </x:row>
    <x:row r="38">
      <x:c r="A38" s="14" t="str">
        <x:v>Đơn giá Utility – Indonesia</x:v>
      </x:c>
      <x:c r="B38" s="53" t="n">
        <x:v>0.025</x:v>
      </x:c>
      <x:c r="C38" s="44" t="str">
        <x:v>USD/tin</x:v>
      </x:c>
      <x:c r="D38" s="3" t="str">
        <x:v>Meta rate card hiệu lực 01/07/2026</x:v>
      </x:c>
      <x:c r="E38" s="3"/>
      <x:c r="F38" s="3"/>
      <x:c r="G38" s="3"/>
      <x:c r="H38" s="3"/>
      <x:c r="I38" s="3"/>
      <x:c r="J38" s="3"/>
    </x:row>
    <x:row r="39">
      <x:c r="A39" s="14" t="str">
        <x:v>Tỷ lệ utility bị tính phí</x:v>
      </x:c>
      <x:c r="B39" s="51" t="n">
        <x:v>1</x:v>
      </x:c>
      <x:c r="C39" s="44" t="str">
        <x:v>%</x:v>
      </x:c>
      <x:c r="D39" s="3" t="str">
        <x:v>Bảo thủ: toàn bộ tin hành trình đơn nằm ngoài FEP</x:v>
      </x:c>
      <x:c r="E39" s="3"/>
      <x:c r="F39" s="3"/>
      <x:c r="G39" s="3"/>
      <x:c r="H39" s="3"/>
      <x:c r="I39" s="3"/>
      <x:c r="J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</x:row>
    <x:row r="42" ht="22.5" customHeight="1">
      <x:c r="A42" s="12" t="str">
        <x:v>P&amp;L DỰ KIẾN — KỊCH BẢN CƠ SỞ</x:v>
      </x:c>
      <x:c r="B42" s="12"/>
      <x:c r="C42" s="12"/>
      <x:c r="D42" s="12"/>
      <x:c r="E42" s="12"/>
      <x:c r="F42" s="12"/>
      <x:c r="G42" s="12"/>
      <x:c r="H42" s="12"/>
      <x:c r="I42" s="12"/>
      <x:c r="J42" s="12"/>
    </x:row>
    <x:row r="43" ht="31.5" customHeight="1">
      <x:c r="A43" s="37" t="str">
        <x:v>Hạng mục</x:v>
      </x:c>
      <x:c r="B43" s="38" t="str">
        <x:v>Giá trị</x:v>
      </x:c>
      <x:c r="C43" s="38" t="str">
        <x:v>Đơn vị</x:v>
      </x:c>
      <x:c r="D43" s="39" t="str">
        <x:v>Diễn giải</x:v>
      </x:c>
      <x:c r="E43" s="3"/>
      <x:c r="F43" s="3"/>
      <x:c r="G43" s="3"/>
      <x:c r="H43" s="3"/>
      <x:c r="I43" s="3"/>
      <x:c r="J43" s="3"/>
    </x:row>
    <x:row r="44">
      <x:c r="A44" s="33" t="str">
        <x:v>DOANH THU SAU HOÀN–HỦY</x:v>
      </x:c>
      <x:c r="B44" s="68" t="n">
        <x:f>$B$23</x:f>
        <x:v>79082295.83999999</x:v>
      </x:c>
      <x:c r="C44" s="3" t="str">
        <x:v>VND</x:v>
      </x:c>
      <x:c r="D44" s="3" t="str">
        <x:v>Chi phí quảng cáo × ROAS media 3.0x</x:v>
      </x:c>
      <x:c r="E44" s="3"/>
      <x:c r="F44" s="3"/>
      <x:c r="G44" s="3"/>
      <x:c r="H44" s="3"/>
      <x:c r="I44" s="3"/>
      <x:c r="J44" s="3"/>
    </x:row>
    <x:row r="45">
      <x:c r="A45" s="3" t="str">
        <x:v>Chi phí quảng cáo</x:v>
      </x:c>
      <x:c r="B45" s="61" t="n">
        <x:f>$B$21</x:f>
        <x:v>26360765.279999997</x:v>
      </x:c>
      <x:c r="C45" s="3" t="str">
        <x:v>VND</x:v>
      </x:c>
      <x:c r="D45" s="3" t="str">
        <x:v>6.000 chat × chi phí/chat quy đổi VND</x:v>
      </x:c>
      <x:c r="E45" s="3"/>
      <x:c r="F45" s="3"/>
      <x:c r="G45" s="3"/>
      <x:c r="H45" s="3"/>
      <x:c r="I45" s="3"/>
      <x:c r="J45" s="3"/>
    </x:row>
    <x:row r="46">
      <x:c r="A46" s="3" t="str">
        <x:v>Chi phí WhatsApp + VAT</x:v>
      </x:c>
      <x:c r="B46" s="61" t="n">
        <x:f>$I$19</x:f>
        <x:v>80663523.00073202</x:v>
      </x:c>
      <x:c r="C46" s="3" t="str">
        <x:v>VND</x:v>
      </x:c>
      <x:c r="D46" s="3" t="str">
        <x:v>MBA + follow-up + utility + upsell</x:v>
      </x:c>
      <x:c r="E46" s="3"/>
      <x:c r="F46" s="3"/>
      <x:c r="G46" s="3"/>
      <x:c r="H46" s="3"/>
      <x:c r="I46" s="3"/>
      <x:c r="J46" s="3"/>
    </x:row>
    <x:row r="47">
      <x:c r="A47" s="3" t="str">
        <x:v>Chi phí nhân sự</x:v>
      </x:c>
      <x:c r="B47" s="61" t="n">
        <x:f>$B$27</x:f>
        <x:v>0</x:v>
      </x:c>
      <x:c r="C47" s="3" t="str">
        <x:v>VND</x:v>
      </x:c>
      <x:c r="D47" s="3" t="str">
        <x:v>Theo brief: 0</x:v>
      </x:c>
      <x:c r="E47" s="3"/>
      <x:c r="F47" s="3"/>
      <x:c r="G47" s="3"/>
      <x:c r="H47" s="3"/>
      <x:c r="I47" s="3"/>
      <x:c r="J47" s="3"/>
    </x:row>
    <x:row r="48">
      <x:c r="A48" s="3" t="str">
        <x:v>Chi phí nền tảng Smax.ai</x:v>
      </x:c>
      <x:c r="B48" s="61" t="n">
        <x:f>$B$28</x:f>
        <x:v>0</x:v>
      </x:c>
      <x:c r="C48" s="3" t="str">
        <x:v>VND</x:v>
      </x:c>
      <x:c r="D48" s="3" t="str">
        <x:v>Theo brief: 0</x:v>
      </x:c>
      <x:c r="E48" s="3"/>
      <x:c r="F48" s="3"/>
      <x:c r="G48" s="3"/>
      <x:c r="H48" s="3"/>
      <x:c r="I48" s="3"/>
      <x:c r="J48" s="3"/>
    </x:row>
    <x:row r="49">
      <x:c r="A49" s="64" t="str">
        <x:v>TỔNG CHI PHÍ KÊNH</x:v>
      </x:c>
      <x:c r="B49" s="69" t="n">
        <x:f>SUM(B45:B48)</x:f>
        <x:v>107024288.28073202</x:v>
      </x:c>
      <x:c r="C49" s="3" t="str">
        <x:v>VND</x:v>
      </x:c>
      <x:c r="D49" s="3" t="str">
        <x:v>Không gồm COGS, logistics, COD fee</x:v>
      </x:c>
      <x:c r="E49" s="3"/>
      <x:c r="F49" s="3"/>
      <x:c r="G49" s="3"/>
      <x:c r="H49" s="3"/>
      <x:c r="I49" s="3"/>
      <x:c r="J49" s="3"/>
    </x:row>
    <x:row r="50">
      <x:c r="A50" s="67" t="str">
        <x:v>ĐÓNG GÓP TRƯỚC COGS/FULFILLMENT</x:v>
      </x:c>
      <x:c r="B50" s="70" t="n">
        <x:f>B44-B49</x:f>
        <x:v>-27941992.440732032</x:v>
      </x:c>
      <x:c r="C50" s="3" t="str">
        <x:v>VND</x:v>
      </x:c>
      <x:c r="D50" s="3" t="str">
        <x:v>Contribution, không phải lợi nhuận ròng kế toán</x:v>
      </x:c>
      <x:c r="E50" s="3"/>
      <x:c r="F50" s="3"/>
      <x:c r="G50" s="3"/>
      <x:c r="H50" s="3"/>
      <x:c r="I50" s="3"/>
      <x:c r="J50" s="3"/>
    </x:row>
    <x:row r="51">
      <x:c r="A51" s="3" t="str">
        <x:v>Biên đóng góp trước COGS</x:v>
      </x:c>
      <x:c r="B51" s="71" t="n">
        <x:f>IFERROR(B50/B44,0)</x:f>
        <x:v>-0.3533280381397187</x:v>
      </x:c>
      <x:c r="C51" s="3" t="str">
        <x:v>%</x:v>
      </x:c>
      <x:c r="D51" s="3" t="str">
        <x:v>Contribution / Doanh thu</x:v>
      </x:c>
      <x:c r="E51" s="3"/>
      <x:c r="F51" s="3"/>
      <x:c r="G51" s="3"/>
      <x:c r="H51" s="3"/>
      <x:c r="I51" s="3"/>
      <x:c r="J51" s="3"/>
    </x:row>
    <x:row r="52">
      <x:c r="A52" s="3" t="str">
        <x:v>Doanh thu / Tổng chi phí kênh</x:v>
      </x:c>
      <x:c r="B52" s="72" t="n">
        <x:f>IFERROR(B44/B49,0)</x:f>
        <x:v>0.7389191473300128</x:v>
      </x:c>
      <x:c r="C52" s="3" t="str">
        <x:v>x</x:v>
      </x:c>
      <x:c r="D52" s="3" t="str">
        <x:v>Hiệu quả sau khi cộng toàn bộ phí WhatsApp</x:v>
      </x:c>
      <x:c r="E52" s="3"/>
      <x:c r="F52" s="3"/>
      <x:c r="G52" s="3"/>
      <x:c r="H52" s="3"/>
      <x:c r="I52" s="3"/>
      <x:c r="J52" s="3"/>
    </x:row>
    <x:row r="53">
      <x:c r="A53" s="3" t="str">
        <x:v>All-in cost / hội thoại mới</x:v>
      </x:c>
      <x:c r="B53" s="61" t="n">
        <x:f>IFERROR(B49/$B$15,0)</x:f>
        <x:v>17837.381380122002</x:v>
      </x:c>
      <x:c r="C53" s="3" t="str">
        <x:v>VND/chat</x:v>
      </x:c>
      <x:c r="D53" s="3" t="str">
        <x:v>Tổng chi phí kênh / Tổng hội thoại</x:v>
      </x:c>
      <x:c r="E53" s="3"/>
      <x:c r="F53" s="3"/>
      <x:c r="G53" s="3"/>
      <x:c r="H53" s="3"/>
      <x:c r="I53" s="3"/>
      <x:c r="J53" s="3"/>
    </x:row>
    <x:row r="54">
      <x:c r="A54" s="3" t="str">
        <x:v>ROAS media hòa vốn</x:v>
      </x:c>
      <x:c r="B54" s="72" t="n">
        <x:f>IFERROR(B49/B45,0)</x:f>
        <x:v>4.059984114419156</x:v>
      </x:c>
      <x:c r="C54" s="3" t="str">
        <x:v>x</x:v>
      </x:c>
      <x:c r="D54" s="3" t="str">
        <x:v>Doanh thu tối thiểu / chi phí quảng cáo</x:v>
      </x:c>
      <x:c r="E54" s="3"/>
      <x:c r="F54" s="3"/>
      <x:c r="G54" s="3"/>
      <x:c r="H54" s="3"/>
      <x:c r="I54" s="3"/>
      <x:c r="J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</x:row>
    <x:row r="57" ht="22.5" customHeight="1">
      <x:c r="A57" s="12" t="str">
        <x:v>ĐỘ NHẠY — CHI PHÍ HỘI THOẠI &amp; FEP 72H</x:v>
      </x:c>
      <x:c r="B57" s="12"/>
      <x:c r="C57" s="12"/>
      <x:c r="D57" s="12"/>
      <x:c r="E57" s="12"/>
      <x:c r="F57" s="12"/>
      <x:c r="G57" s="12"/>
      <x:c r="H57" s="12"/>
      <x:c r="I57" s="12"/>
      <x:c r="J57" s="12"/>
    </x:row>
    <x:row r="58" ht="31.5" customHeight="1">
      <x:c r="A58" s="37" t="str">
        <x:v>Kịch bản</x:v>
      </x:c>
      <x:c r="B58" s="38" t="str">
        <x:v>Ads/chat IDR</x:v>
      </x:c>
      <x:c r="C58" s="38" t="str">
        <x:v>Ads/chat VND</x:v>
      </x:c>
      <x:c r="D58" s="38" t="str">
        <x:v>Hội thoại</x:v>
      </x:c>
      <x:c r="E58" s="38" t="str">
        <x:v>Chi phí Ads</x:v>
      </x:c>
      <x:c r="F58" s="38" t="str">
        <x:v>Doanh thu @3.0x</x:v>
      </x:c>
      <x:c r="G58" s="38" t="str">
        <x:v>Phí WhatsApp</x:v>
      </x:c>
      <x:c r="H58" s="38" t="str">
        <x:v>Tổng chi phí</x:v>
      </x:c>
      <x:c r="I58" s="38" t="str">
        <x:v>Đóng góp</x:v>
      </x:c>
      <x:c r="J58" s="39" t="str">
        <x:v>Revenue / Tổng CP</x:v>
      </x:c>
    </x:row>
    <x:row r="59" ht="27" customHeight="1">
      <x:c r="A59" s="3" t="str">
        <x:v>Thấp + FEP</x:v>
      </x:c>
      <x:c r="B59" s="73" t="n">
        <x:f>$B$16</x:f>
        <x:v>1500</x:v>
      </x:c>
      <x:c r="C59" s="61" t="n">
        <x:f>B59*$B$19</x:f>
        <x:v>2196.73044</x:v>
      </x:c>
      <x:c r="D59" s="60" t="n">
        <x:f>$B$15</x:f>
        <x:v>6000</x:v>
      </x:c>
      <x:c r="E59" s="61" t="n">
        <x:f>C59*D59</x:f>
        <x:v>13180382.639999999</x:v>
      </x:c>
      <x:c r="F59" s="61" t="n">
        <x:f>E59*$B$22</x:f>
        <x:v>39541147.919999994</x:v>
      </x:c>
      <x:c r="G59" s="61" t="n">
        <x:f>$I$19</x:f>
        <x:v>80663523.00073202</x:v>
      </x:c>
      <x:c r="H59" s="61" t="n">
        <x:f>E59+G59+$B$27+$B$28</x:f>
        <x:v>93843905.64073202</x:v>
      </x:c>
      <x:c r="I59" s="61" t="n">
        <x:f>F59-H59</x:f>
        <x:v>-54302757.720732026</x:v>
      </x:c>
      <x:c r="J59" s="72" t="n">
        <x:f>IFERROR(F59/H59,0)</x:f>
        <x:v>0.4213501947731974</x:v>
      </x:c>
    </x:row>
    <x:row r="60" ht="27" customHeight="1">
      <x:c r="A60" s="56" t="str">
        <x:v>Cơ sở + FEP</x:v>
      </x:c>
      <x:c r="B60" s="74" t="n">
        <x:f>$B$17</x:f>
        <x:v>3000</x:v>
      </x:c>
      <x:c r="C60" s="62" t="n">
        <x:f>B60*$B$19</x:f>
        <x:v>4393.46088</x:v>
      </x:c>
      <x:c r="D60" s="76" t="n">
        <x:f>$B$15</x:f>
        <x:v>6000</x:v>
      </x:c>
      <x:c r="E60" s="62" t="n">
        <x:f>C60*D60</x:f>
        <x:v>26360765.279999997</x:v>
      </x:c>
      <x:c r="F60" s="62" t="n">
        <x:f>E60*$B$22</x:f>
        <x:v>79082295.83999999</x:v>
      </x:c>
      <x:c r="G60" s="62" t="n">
        <x:f>$I$19</x:f>
        <x:v>80663523.00073202</x:v>
      </x:c>
      <x:c r="H60" s="62" t="n">
        <x:f>E60+G60+$B$27+$B$28</x:f>
        <x:v>107024288.28073202</x:v>
      </x:c>
      <x:c r="I60" s="62" t="n">
        <x:f>F60-H60</x:f>
        <x:v>-27941992.440732032</x:v>
      </x:c>
      <x:c r="J60" s="78" t="n">
        <x:f>IFERROR(F60/H60,0)</x:f>
        <x:v>0.7389191473300128</x:v>
      </x:c>
    </x:row>
    <x:row r="61" ht="27" customHeight="1">
      <x:c r="A61" s="3" t="str">
        <x:v>Cao + FEP</x:v>
      </x:c>
      <x:c r="B61" s="73" t="n">
        <x:f>$B$18</x:f>
        <x:v>5000</x:v>
      </x:c>
      <x:c r="C61" s="61" t="n">
        <x:f>B61*$B$19</x:f>
        <x:v>7322.434799999999</x:v>
      </x:c>
      <x:c r="D61" s="60" t="n">
        <x:f>$B$15</x:f>
        <x:v>6000</x:v>
      </x:c>
      <x:c r="E61" s="61" t="n">
        <x:f>C61*D61</x:f>
        <x:v>43934608.8</x:v>
      </x:c>
      <x:c r="F61" s="61" t="n">
        <x:f>E61*$B$22</x:f>
        <x:v>131803826.39999999</x:v>
      </x:c>
      <x:c r="G61" s="61" t="n">
        <x:f>$I$19</x:f>
        <x:v>80663523.00073202</x:v>
      </x:c>
      <x:c r="H61" s="61" t="n">
        <x:f>E61+G61+$B$27+$B$28</x:f>
        <x:v>124598131.80073202</x:v>
      </x:c>
      <x:c r="I61" s="61" t="n">
        <x:f>F61-H61</x:f>
        <x:v>7205694.5992679745</x:v>
      </x:c>
      <x:c r="J61" s="72" t="n">
        <x:f>IFERROR(F61/H61,0)</x:f>
        <x:v>1.0578314818619587</x:v>
      </x:c>
    </x:row>
    <x:row r="62" ht="27" customHeight="1">
      <x:c r="A62" s="59" t="str">
        <x:v>Cơ sở không FEP</x:v>
      </x:c>
      <x:c r="B62" s="75" t="n">
        <x:f>$B$17</x:f>
        <x:v>3000</x:v>
      </x:c>
      <x:c r="C62" s="63" t="n">
        <x:f>B62*$B$19</x:f>
        <x:v>4393.46088</x:v>
      </x:c>
      <x:c r="D62" s="77" t="n">
        <x:f>$B$15</x:f>
        <x:v>6000</x:v>
      </x:c>
      <x:c r="E62" s="63" t="n">
        <x:f>C62*D62</x:f>
        <x:v>26360765.279999997</x:v>
      </x:c>
      <x:c r="F62" s="63" t="n">
        <x:f>E62*$B$22</x:f>
        <x:v>79082295.83999999</x:v>
      </x:c>
      <x:c r="G62" s="63" t="n">
        <x:f>$I$19+$I$21</x:f>
        <x:v>102209443.55269203</x:v>
      </x:c>
      <x:c r="H62" s="63" t="n">
        <x:f>E62+G62+$B$27+$B$28</x:f>
        <x:v>128570208.83269203</x:v>
      </x:c>
      <x:c r="I62" s="63" t="n">
        <x:f>F62-H62</x:f>
        <x:v>-49487912.99269204</x:v>
      </x:c>
      <x:c r="J62" s="79" t="n">
        <x:f>IFERROR(F62/H62,0)</x:f>
        <x:v>0.6150903584741743</x:v>
      </x:c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</x:row>
    <x:row r="64" ht="22.5" customHeight="1">
      <x:c r="A64" s="12" t="str">
        <x:v>CHÍNH SÁCH CỬA SỔ NHẮN TIN — CÁCH ÁP DỤNG VÀO FLOW</x:v>
      </x:c>
      <x:c r="B64" s="12"/>
      <x:c r="C64" s="12"/>
      <x:c r="D64" s="12"/>
      <x:c r="E64" s="12"/>
      <x:c r="F64" s="12"/>
      <x:c r="G64" s="12"/>
      <x:c r="H64" s="12"/>
      <x:c r="I64" s="12"/>
      <x:c r="J64" s="12"/>
    </x:row>
    <x:row r="65" ht="34.5" customHeight="1">
      <x:c r="A65" s="80" t="str">
        <x:v>24 giờ — Customer Service Window: mở và reset mỗi khi khách nhắn. Tin non-template chỉ được gửi trong cửa sổ này.</x:v>
      </x:c>
      <x:c r="B65" s="80"/>
      <x:c r="C65" s="80"/>
      <x:c r="D65" s="80"/>
      <x:c r="E65" s="80"/>
      <x:c r="F65" s="80"/>
      <x:c r="G65" s="80"/>
      <x:c r="H65" s="80"/>
      <x:c r="I65" s="80"/>
      <x:c r="J65" s="80"/>
    </x:row>
    <x:row r="66" ht="34.5" customHeight="1">
      <x:c r="A66" s="80" t="str">
        <x:v>Sau 24 giờ: doanh nghiệp chỉ có thể chủ động tiếp cận lại bằng template đã được phê duyệt.</x:v>
      </x:c>
      <x:c r="B66" s="80"/>
      <x:c r="C66" s="80"/>
      <x:c r="D66" s="80"/>
      <x:c r="E66" s="80"/>
      <x:c r="F66" s="80"/>
      <x:c r="G66" s="80"/>
      <x:c r="H66" s="80"/>
      <x:c r="I66" s="80"/>
      <x:c r="J66" s="80"/>
    </x:row>
    <x:row r="67" ht="34.5" customHeight="1">
      <x:c r="A67" s="80" t="str">
        <x:v>72 giờ — Free Entry Point: chỉ áp dụng khi khách vào từ Click-to-WhatsApp Ads/Facebook CTA và doanh nghiệp phản hồi trong 24 giờ. Đây không phải cửa sổ dịch vụ thông thường.</x:v>
      </x:c>
      <x:c r="B67" s="80"/>
      <x:c r="C67" s="80"/>
      <x:c r="D67" s="80"/>
      <x:c r="E67" s="80"/>
      <x:c r="F67" s="80"/>
      <x:c r="G67" s="80"/>
      <x:c r="H67" s="80"/>
      <x:c r="I67" s="80"/>
      <x:c r="J67" s="80"/>
    </x:row>
    <x:row r="68" ht="34.5" customHeight="1">
      <x:c r="A68" s="59" t="str">
        <x:v>Meta Business Agent: tính phí token từ 01/08/2026 ngay cả trong FEP 72 giờ; mức tham chiếu $2/1 triệu token, thường 20.000–25.000 token/tin.</x:v>
      </x:c>
      <x:c r="B68" s="59"/>
      <x:c r="C68" s="59"/>
      <x:c r="D68" s="59"/>
      <x:c r="E68" s="59"/>
      <x:c r="F68" s="59"/>
      <x:c r="G68" s="59"/>
      <x:c r="H68" s="59"/>
      <x:c r="I68" s="59"/>
      <x:c r="J68" s="59"/>
    </x:row>
    <x:row r="69" ht="34.5" customHeight="1">
      <x:c r="A69" s="80" t="str">
        <x:v>Từ 01/10/2026: service message và utility gửi trong cửa sổ 24 giờ bắt đầu bị tính phí; service có đơn giá bằng utility/authentication theo từng thị trường.</x:v>
      </x:c>
      <x:c r="B69" s="80"/>
      <x:c r="C69" s="80"/>
      <x:c r="D69" s="80"/>
      <x:c r="E69" s="80"/>
      <x:c r="F69" s="80"/>
      <x:c r="G69" s="80"/>
      <x:c r="H69" s="80"/>
      <x:c r="I69" s="80"/>
      <x:c r="J69" s="80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</x:row>
    <x:row r="72" ht="22.5" customHeight="1">
      <x:c r="A72" s="12" t="str">
        <x:v>NGUỒN &amp; QUY ƯỚC</x:v>
      </x:c>
      <x:c r="B72" s="12"/>
      <x:c r="C72" s="12"/>
      <x:c r="D72" s="12"/>
      <x:c r="E72" s="12"/>
      <x:c r="F72" s="12"/>
      <x:c r="G72" s="12"/>
      <x:c r="H72" s="12"/>
      <x:c r="I72" s="12"/>
      <x:c r="J72" s="12"/>
    </x:row>
    <x:row r="73" ht="31.5" customHeight="1">
      <x:c r="A73" s="81" t="str">
        <x:v>Hạng mục</x:v>
      </x:c>
      <x:c r="B73" s="81" t="str">
        <x:v>Giá trị dùng trong model</x:v>
      </x:c>
      <x:c r="C73" s="81" t="str">
        <x:v>Nguồn</x:v>
      </x:c>
      <x:c r="D73" s="81" t="str">
        <x:v>URL / ghi chú</x:v>
      </x:c>
      <x:c r="E73" s="3"/>
      <x:c r="F73" s="3"/>
      <x:c r="G73" s="3"/>
      <x:c r="H73" s="3"/>
      <x:c r="I73" s="3"/>
      <x:c r="J73" s="3"/>
    </x:row>
    <x:row r="74" ht="34.5" customHeight="1">
      <x:c r="A74" s="14" t="str">
        <x:v>Chính sách giá &amp; 24h/72h</x:v>
      </x:c>
      <x:c r="B74" s="3" t="str">
        <x:v>Per delivered message</x:v>
      </x:c>
      <x:c r="C74" s="3" t="str">
        <x:v>Meta for Developers</x:v>
      </x:c>
      <x:c r="D74" s="82" t="str">
        <x:v>https://developers.facebook.com/documentation/business-messaging/whatsapp/pricing</x:v>
      </x:c>
      <x:c r="E74" s="3"/>
      <x:c r="F74" s="3"/>
      <x:c r="G74" s="3"/>
      <x:c r="H74" s="3"/>
      <x:c r="I74" s="3"/>
      <x:c r="J74" s="3"/>
    </x:row>
    <x:row r="75" ht="34.5" customHeight="1">
      <x:c r="A75" s="14" t="str">
        <x:v>Meta Business Agent</x:v>
      </x:c>
      <x:c r="B75" s="3" t="str">
        <x:v>$2/1M token; 20K–25K token/tin</x:v>
      </x:c>
      <x:c r="C75" s="3" t="str">
        <x:v>Meta for Developers</x:v>
      </x:c>
      <x:c r="D75" s="82" t="str">
        <x:v>https://developers.facebook.com/documentation/business-messaging/whatsapp/pricing/non-template-messages</x:v>
      </x:c>
      <x:c r="E75" s="3"/>
      <x:c r="F75" s="3"/>
      <x:c r="G75" s="3"/>
      <x:c r="H75" s="3"/>
      <x:c r="I75" s="3"/>
      <x:c r="J75" s="3"/>
    </x:row>
    <x:row r="76" ht="34.5" customHeight="1">
      <x:c r="A76" s="14" t="str">
        <x:v>Rate card Indonesia</x:v>
      </x:c>
      <x:c r="B76" s="3" t="str">
        <x:v>Marketing $0.0411; Utility $0.0250</x:v>
      </x:c>
      <x:c r="C76" s="3" t="str">
        <x:v>Meta rate card 01/07/2026</x:v>
      </x:c>
      <x:c r="D76" s="82" t="str">
        <x:v>https://developers.facebook.com/documentation/business-messaging/whatsapp/pricing#rates</x:v>
      </x:c>
      <x:c r="E76" s="3"/>
      <x:c r="F76" s="3"/>
      <x:c r="G76" s="3"/>
      <x:c r="H76" s="3"/>
      <x:c r="I76" s="3"/>
      <x:c r="J76" s="3"/>
    </x:row>
    <x:row r="77" ht="34.5" customHeight="1">
      <x:c r="A77" s="14" t="str">
        <x:v>Tỷ giá IDR/VND</x:v>
      </x:c>
      <x:c r="B77" s="3" t="str">
        <x:v>1 IDR = 1.46448696 VND</x:v>
      </x:c>
      <x:c r="C77" s="3" t="str">
        <x:v>XE 05/08/2026</x:v>
      </x:c>
      <x:c r="D77" s="82" t="str">
        <x:v>https://www.xe.com/en-us/currencyconverter/convert/?Amount=1&amp;From=IDR&amp;To=VND</x:v>
      </x:c>
      <x:c r="E77" s="3"/>
      <x:c r="F77" s="3"/>
      <x:c r="G77" s="3"/>
      <x:c r="H77" s="3"/>
      <x:c r="I77" s="3"/>
      <x:c r="J77" s="3"/>
    </x:row>
    <x:row r="78" ht="34.5" customHeight="1">
      <x:c r="A78" s="14" t="str">
        <x:v>Tỷ giá USD/VND</x:v>
      </x:c>
      <x:c r="B78" s="3" t="str">
        <x:v>1 USD = 26,237.82 VND</x:v>
      </x:c>
      <x:c r="C78" s="3" t="str">
        <x:v>XE 05/08/2026</x:v>
      </x:c>
      <x:c r="D78" s="82" t="str">
        <x:v>https://www.xe.com/currencyconverter/convert/?Amount=1&amp;From=USD&amp;To=VND</x:v>
      </x:c>
      <x:c r="E78" s="3"/>
      <x:c r="F78" s="3"/>
      <x:c r="G78" s="3"/>
      <x:c r="H78" s="3"/>
      <x:c r="I78" s="3"/>
      <x:c r="J78" s="3"/>
    </x:row>
    <x:row r="79" ht="34.5" customHeight="1">
      <x:c r="A79" s="14" t="str">
        <x:v>Benchmark CTWA Indonesia</x:v>
      </x:c>
      <x:c r="B79" s="3" t="str">
        <x:v>Rp1.500–5.000/chat</x:v>
      </x:c>
      <x:c r="C79" s="3" t="str">
        <x:v>Berdu.id</x:v>
      </x:c>
      <x:c r="D79" s="82" t="str">
        <x:v>https://berdu.id/blog/dari-iklan-ke-chat-merancang-click-to-whatsapp-yang-menghasilkan-penjualan-bukan-sekadar-lead</x:v>
      </x:c>
      <x:c r="E79" s="3"/>
      <x:c r="F79" s="3"/>
      <x:c r="G79" s="3"/>
      <x:c r="H79" s="3"/>
      <x:c r="I79" s="3"/>
      <x:c r="J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</x:row>
    <x:row r="82" ht="22.5" customHeight="1">
      <x:c r="A82" s="12" t="str">
        <x:v>KIỂM TRA MÔ HÌNH</x:v>
      </x:c>
      <x:c r="B82" s="12"/>
      <x:c r="C82" s="12"/>
      <x:c r="D82" s="12"/>
      <x:c r="E82" s="12"/>
      <x:c r="F82" s="12"/>
      <x:c r="G82" s="84" t="str">
        <x:f>"MODEL STATUS: "&amp;IF(COUNTIF(C84:C88,"CHECK")=0,"PASS","FAIL")</x:f>
        <x:v>MODEL STATUS: PASS</x:v>
      </x:c>
      <x:c r="H82" s="84"/>
      <x:c r="I82" s="84"/>
      <x:c r="J82" s="84"/>
    </x:row>
    <x:row r="83" ht="31.5" customHeight="1">
      <x:c r="A83" s="81" t="str">
        <x:v>Kiểm tra</x:v>
      </x:c>
      <x:c r="B83" s="81" t="str">
        <x:v>Giá trị</x:v>
      </x:c>
      <x:c r="C83" s="81" t="str">
        <x:v>Trạng thái</x:v>
      </x:c>
      <x:c r="D83" s="81" t="str">
        <x:v>Ghi chú</x:v>
      </x:c>
      <x:c r="E83" s="3"/>
      <x:c r="F83" s="3"/>
      <x:c r="G83" s="3"/>
      <x:c r="H83" s="3"/>
      <x:c r="I83" s="3"/>
      <x:c r="J83" s="3"/>
    </x:row>
    <x:row r="84">
      <x:c r="A84" s="3" t="str">
        <x:v>Tổng hội thoại = 6.000</x:v>
      </x:c>
      <x:c r="B84" s="60" t="n">
        <x:f>$B$15</x:f>
        <x:v>6000</x:v>
      </x:c>
      <x:c r="C84" s="3" t="str">
        <x:f>IF(B84=6000,"OK","CHECK")</x:f>
        <x:v>OK</x:v>
      </x:c>
      <x:c r="D84" s="3" t="str">
        <x:v>100/ngày × 60 ngày</x:v>
      </x:c>
      <x:c r="E84" s="3"/>
      <x:c r="F84" s="3"/>
      <x:c r="G84" s="3"/>
      <x:c r="H84" s="3"/>
      <x:c r="I84" s="3"/>
      <x:c r="J84" s="3"/>
    </x:row>
    <x:row r="85">
      <x:c r="A85" s="3" t="str">
        <x:v>Doanh thu = Ads × ROAS</x:v>
      </x:c>
      <x:c r="B85" s="61" t="n">
        <x:f>B44-B45*$B$22</x:f>
        <x:v>0</x:v>
      </x:c>
      <x:c r="C85" s="3" t="str">
        <x:f>IF(ABS(B85)&lt;1,"OK","CHECK")</x:f>
        <x:v>OK</x:v>
      </x:c>
      <x:c r="D85" s="3" t="str">
        <x:v>Sai lệch phải bằng 0</x:v>
      </x:c>
      <x:c r="E85" s="3"/>
      <x:c r="F85" s="3"/>
      <x:c r="G85" s="3"/>
      <x:c r="H85" s="3"/>
      <x:c r="I85" s="3"/>
      <x:c r="J85" s="3"/>
    </x:row>
    <x:row r="86">
      <x:c r="A86" s="3" t="str">
        <x:v>Phí WhatsApp = các bước + VAT</x:v>
      </x:c>
      <x:c r="B86" s="61" t="n">
        <x:f>$I$19-(SUM($I$13:$I$16)*(1+$B$26))</x:f>
        <x:v>0</x:v>
      </x:c>
      <x:c r="C86" s="3" t="str">
        <x:f>IF(ABS(B86)&lt;1,"OK","CHECK")</x:f>
        <x:v>OK</x:v>
      </x:c>
      <x:c r="D86" s="3" t="str">
        <x:v>Tie-out flow</x:v>
      </x:c>
      <x:c r="E86" s="3"/>
      <x:c r="F86" s="3"/>
      <x:c r="G86" s="3"/>
      <x:c r="H86" s="3"/>
      <x:c r="I86" s="3"/>
      <x:c r="J86" s="3"/>
    </x:row>
    <x:row r="87">
      <x:c r="A87" s="3" t="str">
        <x:v>Nhân sự + Smax = 0</x:v>
      </x:c>
      <x:c r="B87" s="61" t="n">
        <x:f>$B$27+$B$28</x:f>
        <x:v>0</x:v>
      </x:c>
      <x:c r="C87" s="3" t="str">
        <x:f>IF(B87=0,"OK","CHECK")</x:f>
        <x:v>OK</x:v>
      </x:c>
      <x:c r="D87" s="3" t="str">
        <x:v>Theo brief</x:v>
      </x:c>
      <x:c r="E87" s="3"/>
      <x:c r="F87" s="3"/>
      <x:c r="G87" s="3"/>
      <x:c r="H87" s="3"/>
      <x:c r="I87" s="3"/>
      <x:c r="J87" s="3"/>
    </x:row>
    <x:row r="88">
      <x:c r="A88" s="3" t="str">
        <x:v>Đơn vị mô hình = VND</x:v>
      </x:c>
      <x:c r="B88" s="3" t="n">
        <x:f>1</x:f>
        <x:v>1</x:v>
      </x:c>
      <x:c r="C88" s="3" t="str">
        <x:f>IF(B88=1,"OK","CHECK")</x:f>
        <x:v>OK</x:v>
      </x:c>
      <x:c r="D88" s="3" t="str">
        <x:v>Không còn số tiền P&amp;L bằng IDR</x:v>
      </x:c>
      <x:c r="E88" s="3"/>
      <x:c r="F88" s="3"/>
      <x:c r="G88" s="3"/>
      <x:c r="H88" s="3"/>
      <x:c r="I88" s="3"/>
      <x:c r="J88" s="3"/>
    </x:row>
  </x:sheetData>
  <x:mergeCells>
    <x:mergeCell ref="A1:J1"/>
    <x:mergeCell ref="A2:J2"/>
    <x:mergeCell ref="A3:J3"/>
    <x:mergeCell ref="A5:J5"/>
    <x:mergeCell ref="A11:D11"/>
    <x:mergeCell ref="F11:J11"/>
    <x:mergeCell ref="A42:J42"/>
    <x:mergeCell ref="A57:J57"/>
    <x:mergeCell ref="A64:J64"/>
    <x:mergeCell ref="A65:J65"/>
    <x:mergeCell ref="A66:J66"/>
    <x:mergeCell ref="A67:J67"/>
    <x:mergeCell ref="A68:J68"/>
    <x:mergeCell ref="A69:J69"/>
    <x:mergeCell ref="A72:J72"/>
    <x:mergeCell ref="D73:J73"/>
    <x:mergeCell ref="D74:J74"/>
    <x:mergeCell ref="D75:J75"/>
    <x:mergeCell ref="D76:J76"/>
    <x:mergeCell ref="D77:J77"/>
    <x:mergeCell ref="D78:J78"/>
    <x:mergeCell ref="D79:J79"/>
    <x:mergeCell ref="A82:F82"/>
    <x:mergeCell ref="G82:J82"/>
  </x:mergeCells>
  <x:conditionalFormatting sqref="C84:C88">
    <x:cfRule type="containsText" dxfId="0" priority="1" operator="containsText" text="OK"/>
    <x:cfRule type="containsText" dxfId="1" priority="2" operator="containsText" text="CHECK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16.25" hidden="0" customWidth="1"/>
    <x:col min="3" max="3" width="15" hidden="0" customWidth="1"/>
    <x:col min="4" max="4" width="22.5" hidden="0" customWidth="1"/>
    <x:col min="5" max="5" width="53.75" hidden="0" customWidth="1"/>
    <x:col min="6" max="6" width="35" hidden="0" customWidth="1"/>
  </x:cols>
  <x:sheetData>
    <x:row r="1">
      <x:c r="A1" s="87" t="str">
        <x:v>NGUỒN GIÁ &amp; GIẢ ĐỊNH — WHATSAPP INDONESIA</x:v>
      </x:c>
      <x:c r="B1" s="87"/>
      <x:c r="C1" s="87"/>
      <x:c r="D1" s="87"/>
      <x:c r="E1" s="87"/>
      <x:c r="F1" s="87"/>
    </x:row>
    <x:row r="2">
      <x:c r="A2" s="89" t="str">
        <x:v>Cập nhật 05/08/2026 | Kiểm tra lại Meta rate card và tỷ giá trước khi ký ngân sách</x:v>
      </x:c>
      <x:c r="B2" s="89"/>
      <x:c r="C2" s="89"/>
      <x:c r="D2" s="89"/>
      <x:c r="E2" s="89"/>
      <x:c r="F2" s="89"/>
    </x:row>
    <x:row r="3">
      <x:c r="A3" s="98"/>
      <x:c r="B3" s="98"/>
      <x:c r="C3" s="98"/>
      <x:c r="D3" s="98"/>
      <x:c r="E3" s="98"/>
      <x:c r="F3" s="98"/>
    </x:row>
    <x:row r="4">
      <x:c r="A4" s="99" t="str">
        <x:v>Đầu vào</x:v>
      </x:c>
      <x:c r="B4" s="99" t="str">
        <x:v>Giá trị</x:v>
      </x:c>
      <x:c r="C4" s="99" t="str">
        <x:v>Đơn vị</x:v>
      </x:c>
      <x:c r="D4" s="99" t="str">
        <x:v>Nguồn</x:v>
      </x:c>
      <x:c r="E4" s="99" t="str">
        <x:v>URL</x:v>
      </x:c>
      <x:c r="F4" s="99" t="str">
        <x:v>Ghi chú áp dụng</x:v>
      </x:c>
    </x:row>
    <x:row r="5" ht="34.5" customHeight="1">
      <x:c r="A5" s="100" t="str">
        <x:v>CTWA cost/chat — thấp</x:v>
      </x:c>
      <x:c r="B5" s="98" t="n">
        <x:v>1500</x:v>
      </x:c>
      <x:c r="C5" s="98" t="str">
        <x:v>IDR/chat</x:v>
      </x:c>
      <x:c r="D5" s="98" t="str">
        <x:v>Berdu.id</x:v>
      </x:c>
      <x:c r="E5" s="101" t="str">
        <x:v>https://berdu.id/blog/dari-iklan-ke-chat-merancang-click-to-whatsapp-yang-menghasilkan-penjualan-bukan-sekadar-lead</x:v>
      </x:c>
      <x:c r="F5" s="98" t="str">
        <x:v>Benchmark thị trường</x:v>
      </x:c>
    </x:row>
    <x:row r="6" ht="34.5" customHeight="1">
      <x:c r="A6" s="100" t="str">
        <x:v>CTWA cost/chat — cơ sở</x:v>
      </x:c>
      <x:c r="B6" s="98" t="n">
        <x:v>3000</x:v>
      </x:c>
      <x:c r="C6" s="98" t="str">
        <x:v>IDR/chat</x:v>
      </x:c>
      <x:c r="D6" s="98" t="str">
        <x:v>Berdu.id</x:v>
      </x:c>
      <x:c r="E6" s="101" t="str">
        <x:v>https://berdu.id/blog/dari-iklan-ke-chat-merancang-click-to-whatsapp-yang-menghasilkan-penjualan-bukan-sekadar-lead</x:v>
      </x:c>
      <x:c r="F6" s="98" t="str">
        <x:v>Dùng trong P&amp;L</x:v>
      </x:c>
    </x:row>
    <x:row r="7" ht="34.5" customHeight="1">
      <x:c r="A7" s="100" t="str">
        <x:v>CTWA cost/chat — cao</x:v>
      </x:c>
      <x:c r="B7" s="98" t="n">
        <x:v>5000</x:v>
      </x:c>
      <x:c r="C7" s="98" t="str">
        <x:v>IDR/chat</x:v>
      </x:c>
      <x:c r="D7" s="98" t="str">
        <x:v>Berdu.id</x:v>
      </x:c>
      <x:c r="E7" s="101" t="str">
        <x:v>https://berdu.id/blog/dari-iklan-ke-chat-merancang-click-to-whatsapp-yang-menghasilkan-penjualan-bukan-sekadar-lead</x:v>
      </x:c>
      <x:c r="F7" s="98" t="str">
        <x:v>Benchmark thận trọng</x:v>
      </x:c>
    </x:row>
    <x:row r="8" ht="34.5" customHeight="1">
      <x:c r="A8" s="100" t="str">
        <x:v>Marketing — Indonesia</x:v>
      </x:c>
      <x:c r="B8" s="98" t="n">
        <x:v>0.0411</x:v>
      </x:c>
      <x:c r="C8" s="98" t="str">
        <x:v>USD/message</x:v>
      </x:c>
      <x:c r="D8" s="98" t="str">
        <x:v>Meta rate card</x:v>
      </x:c>
      <x:c r="E8" s="101" t="str">
        <x:v>https://developers.facebook.com/documentation/business-messaging/whatsapp/pricing#rates</x:v>
      </x:c>
      <x:c r="F8" s="98" t="str">
        <x:v>Hiệu lực 01/07/2026</x:v>
      </x:c>
    </x:row>
    <x:row r="9" ht="34.5" customHeight="1">
      <x:c r="A9" s="100" t="str">
        <x:v>Utility — Indonesia</x:v>
      </x:c>
      <x:c r="B9" s="98" t="n">
        <x:v>0.025</x:v>
      </x:c>
      <x:c r="C9" s="98" t="str">
        <x:v>USD/message</x:v>
      </x:c>
      <x:c r="D9" s="98" t="str">
        <x:v>Meta rate card</x:v>
      </x:c>
      <x:c r="E9" s="101" t="str">
        <x:v>https://developers.facebook.com/documentation/business-messaging/whatsapp/pricing#rates</x:v>
      </x:c>
      <x:c r="F9" s="98" t="str">
        <x:v>Hiệu lực 01/07/2026</x:v>
      </x:c>
    </x:row>
    <x:row r="10" ht="34.5" customHeight="1">
      <x:c r="A10" s="100" t="str">
        <x:v>Meta Business Agent</x:v>
      </x:c>
      <x:c r="B10" s="98" t="n">
        <x:v>2</x:v>
      </x:c>
      <x:c r="C10" s="98" t="str">
        <x:v>USD/1M token</x:v>
      </x:c>
      <x:c r="D10" s="98" t="str">
        <x:v>Meta for Developers</x:v>
      </x:c>
      <x:c r="E10" s="101" t="str">
        <x:v>https://developers.facebook.com/documentation/business-messaging/whatsapp/pricing/non-template-messages</x:v>
      </x:c>
      <x:c r="F10" s="98" t="str">
        <x:v>Hiệu lực 01/08/2026</x:v>
      </x:c>
    </x:row>
    <x:row r="11" ht="34.5" customHeight="1">
      <x:c r="A11" s="100" t="str">
        <x:v>IDR/VND</x:v>
      </x:c>
      <x:c r="B11" s="98" t="n">
        <x:v>1.46448696</x:v>
      </x:c>
      <x:c r="C11" s="98" t="str">
        <x:v>VND/IDR</x:v>
      </x:c>
      <x:c r="D11" s="98" t="str">
        <x:v>XE</x:v>
      </x:c>
      <x:c r="E11" s="101" t="str">
        <x:v>https://www.xe.com/en-us/currencyconverter/convert/?Amount=1&amp;From=IDR&amp;To=VND</x:v>
      </x:c>
      <x:c r="F11" s="98" t="str">
        <x:v>05/08/2026</x:v>
      </x:c>
    </x:row>
    <x:row r="12" ht="34.5" customHeight="1">
      <x:c r="A12" s="100" t="str">
        <x:v>USD/VND</x:v>
      </x:c>
      <x:c r="B12" s="98" t="n">
        <x:v>26237.82</x:v>
      </x:c>
      <x:c r="C12" s="98" t="str">
        <x:v>VND/USD</x:v>
      </x:c>
      <x:c r="D12" s="98" t="str">
        <x:v>XE</x:v>
      </x:c>
      <x:c r="E12" s="101" t="str">
        <x:v>https://www.xe.com/currencyconverter/convert/?Amount=1&amp;From=USD&amp;To=VND</x:v>
      </x:c>
      <x:c r="F12" s="98" t="str">
        <x:v>05/08/2026</x:v>
      </x:c>
    </x:row>
  </x:sheetData>
  <x:mergeCells>
    <x:mergeCell ref="A1:F1"/>
    <x:mergeCell ref="A2:F2"/>
  </x:mergeCells>
  <x:pageMargins left="0.7" right="0.7" top="0.75" bottom="0.75" header="0.3" footer="0.3"/>
</x:worksheet>
</file>